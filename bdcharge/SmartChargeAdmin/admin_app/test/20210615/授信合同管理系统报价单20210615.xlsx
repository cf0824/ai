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E:\Git\pinma\pm_admin_pure\admin_app\test\20210615\"/>
    </mc:Choice>
  </mc:AlternateContent>
  <xr:revisionPtr revIDLastSave="0" documentId="13_ncr:1_{604E59A3-24F2-44F9-AB5E-D9177D50362D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N39" i="1" l="1"/>
  <c r="P17" i="1"/>
  <c r="P16" i="1"/>
  <c r="P5" i="1"/>
  <c r="P6" i="1"/>
  <c r="P7" i="1"/>
  <c r="P8" i="1"/>
  <c r="P9" i="1"/>
  <c r="P10" i="1"/>
  <c r="P11" i="1"/>
  <c r="P12" i="1"/>
  <c r="P13" i="1"/>
  <c r="P14" i="1"/>
  <c r="P15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4" i="1"/>
  <c r="O39" i="1"/>
  <c r="B2" i="1"/>
  <c r="P39" i="1" l="1"/>
</calcChain>
</file>

<file path=xl/sharedStrings.xml><?xml version="1.0" encoding="utf-8"?>
<sst xmlns="http://schemas.openxmlformats.org/spreadsheetml/2006/main" count="243" uniqueCount="132">
  <si>
    <t>项目/需求名称</t>
  </si>
  <si>
    <t>授信合同管理系统</t>
  </si>
  <si>
    <t>项目编号：</t>
  </si>
  <si>
    <t>总计工作量：</t>
  </si>
  <si>
    <t>需求接收时间：</t>
  </si>
  <si>
    <t>评估上线时间：</t>
  </si>
  <si>
    <t>序号</t>
  </si>
  <si>
    <t>大类</t>
  </si>
  <si>
    <t>小类</t>
  </si>
  <si>
    <t>功能点</t>
  </si>
  <si>
    <t>负责人</t>
  </si>
  <si>
    <t>架构及系统设计</t>
  </si>
  <si>
    <t>需求分析</t>
  </si>
  <si>
    <t>后端开发</t>
  </si>
  <si>
    <t>接口开发</t>
  </si>
  <si>
    <t>需求测试</t>
  </si>
  <si>
    <t>部署发布</t>
  </si>
  <si>
    <t>开发开始时间</t>
  </si>
  <si>
    <t>开发结束时间</t>
  </si>
  <si>
    <t>支撑人员人数合计</t>
  </si>
  <si>
    <t>工作量小计(人天)</t>
  </si>
  <si>
    <t>报价</t>
  </si>
  <si>
    <t>需求调研</t>
  </si>
  <si>
    <t>沟通需求</t>
  </si>
  <si>
    <t>栗天正</t>
  </si>
  <si>
    <t>√</t>
  </si>
  <si>
    <t>T</t>
  </si>
  <si>
    <t>T+1</t>
  </si>
  <si>
    <t>分析需求</t>
  </si>
  <si>
    <t>T+2</t>
  </si>
  <si>
    <t>技术方案设计与编制</t>
  </si>
  <si>
    <t>编写技术方案书</t>
  </si>
  <si>
    <t>T+3</t>
  </si>
  <si>
    <t>系统设计</t>
  </si>
  <si>
    <t>架构设计</t>
  </si>
  <si>
    <t>进行系统架构设计</t>
  </si>
  <si>
    <t>T+5</t>
  </si>
  <si>
    <t>概要设计</t>
  </si>
  <si>
    <t>从总体上对系统进行设计，产出概要设计说明书</t>
  </si>
  <si>
    <t>T+6</t>
  </si>
  <si>
    <t>详细设计</t>
  </si>
  <si>
    <t>在概要设计的基础上更进一步，对系统进行更详细的设计</t>
  </si>
  <si>
    <t>T+8</t>
  </si>
  <si>
    <t>设计数据库表结构</t>
  </si>
  <si>
    <t>T+10</t>
  </si>
  <si>
    <t>系统开发</t>
  </si>
  <si>
    <t>合同模板管理</t>
  </si>
  <si>
    <t>模板信息管理</t>
  </si>
  <si>
    <t>尚浩博/张季</t>
  </si>
  <si>
    <t>T+12</t>
  </si>
  <si>
    <t>模板制作</t>
  </si>
  <si>
    <t>尚浩博/杨志远</t>
  </si>
  <si>
    <t>T+14</t>
  </si>
  <si>
    <t>模板导入</t>
  </si>
  <si>
    <t>T+16</t>
  </si>
  <si>
    <t>合同自动填充</t>
  </si>
  <si>
    <t>连接扫描仪</t>
  </si>
  <si>
    <t>尚浩博</t>
  </si>
  <si>
    <t>T+17</t>
  </si>
  <si>
    <t>OCR提取身份证信息</t>
  </si>
  <si>
    <t>T+20</t>
  </si>
  <si>
    <t>OCR提取营业执照信息</t>
  </si>
  <si>
    <t>T+21</t>
  </si>
  <si>
    <t>T+30</t>
  </si>
  <si>
    <t>合同模板渲染</t>
  </si>
  <si>
    <t>T+24</t>
  </si>
  <si>
    <t>T+28</t>
  </si>
  <si>
    <t>合同下载</t>
  </si>
  <si>
    <t>合同编号管理</t>
  </si>
  <si>
    <t>编号自动生成</t>
  </si>
  <si>
    <t>T+31</t>
  </si>
  <si>
    <t>编号合法性检测</t>
  </si>
  <si>
    <t>T+32</t>
  </si>
  <si>
    <t>合同记录管理</t>
  </si>
  <si>
    <t>合同记录查询</t>
  </si>
  <si>
    <t>张季</t>
  </si>
  <si>
    <t>T+33</t>
  </si>
  <si>
    <t>合同记录导出</t>
  </si>
  <si>
    <t>T+33.5</t>
  </si>
  <si>
    <t>合同记录汇总</t>
  </si>
  <si>
    <t>T+34.5</t>
  </si>
  <si>
    <t>系统管理</t>
  </si>
  <si>
    <t>系统参数维护</t>
  </si>
  <si>
    <t>T+35</t>
  </si>
  <si>
    <t>用户信息维护</t>
  </si>
  <si>
    <t>T+36</t>
  </si>
  <si>
    <t>系统角色管理</t>
  </si>
  <si>
    <t>T+37</t>
  </si>
  <si>
    <t>交易日志管理</t>
  </si>
  <si>
    <t>T+37.5</t>
  </si>
  <si>
    <t>系统测试</t>
  </si>
  <si>
    <t>制定测试计划</t>
  </si>
  <si>
    <t>测试环境设计</t>
  </si>
  <si>
    <t>王帅/章家瑜</t>
  </si>
  <si>
    <t>T+38</t>
  </si>
  <si>
    <t>测试设计与开发</t>
  </si>
  <si>
    <t>测试详细设计</t>
  </si>
  <si>
    <t>T+39</t>
  </si>
  <si>
    <t>测试用例设计与开发</t>
  </si>
  <si>
    <t>T+40</t>
  </si>
  <si>
    <t>测试执行与管理</t>
  </si>
  <si>
    <t>准备测试环境</t>
  </si>
  <si>
    <t>T+41</t>
  </si>
  <si>
    <t>实践测试</t>
  </si>
  <si>
    <t>T+42</t>
  </si>
  <si>
    <t>测试结果修改</t>
  </si>
  <si>
    <t>T+44</t>
  </si>
  <si>
    <t>测试报告</t>
  </si>
  <si>
    <t>兼容性测试报告</t>
  </si>
  <si>
    <t>T+45</t>
  </si>
  <si>
    <t>测试人员自查报告</t>
  </si>
  <si>
    <t>T+46</t>
  </si>
  <si>
    <t>数据库操作</t>
  </si>
  <si>
    <t>数据库脚本编写</t>
  </si>
  <si>
    <t>T+47</t>
  </si>
  <si>
    <t>打包并上传GIT</t>
  </si>
  <si>
    <t>发布版本提交</t>
  </si>
  <si>
    <t>T+48</t>
  </si>
  <si>
    <t>生产环境测试</t>
  </si>
  <si>
    <t>尚浩博/张季/杨志远</t>
  </si>
  <si>
    <t>T+50</t>
  </si>
  <si>
    <t>总计</t>
  </si>
  <si>
    <t>备注：甲方提供服务器。签署数据保密协议。免费运维一年。</t>
  </si>
  <si>
    <t>报价单位：河南品码信息科技有限公司</t>
  </si>
  <si>
    <t>单位地址：河南省许昌市莲城大道与魏文路交叉口时代温泉公寓1111室</t>
  </si>
  <si>
    <t>联系人：栗天正 15803890710</t>
  </si>
  <si>
    <t>报价日期：2021.06.15</t>
  </si>
  <si>
    <t>T+18</t>
    <phoneticPr fontId="5" type="noConversion"/>
  </si>
  <si>
    <t>栗天正/尚浩博</t>
    <phoneticPr fontId="5" type="noConversion"/>
  </si>
  <si>
    <t>杨志远/尚浩博</t>
    <phoneticPr fontId="5" type="noConversion"/>
  </si>
  <si>
    <t>张季/杨志远</t>
    <phoneticPr fontId="5" type="noConversion"/>
  </si>
  <si>
    <t>栗天正/尚浩博/张季/杨志远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</si>
</sst>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6" x14ac:knownFonts="1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sz val="9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workbookViewId="0">
      <selection activeCell="M9" sqref="M9"/>
    </sheetView>
  </sheetViews>
  <sheetFormatPr defaultColWidth="9" defaultRowHeight="14.15" x14ac:dyDescent="0.35"/>
  <cols>
    <col min="1" max="1" width="15.2109375" customWidth="1"/>
    <col min="2" max="2" width="12.5" customWidth="1"/>
    <col min="3" max="3" width="18.92578125" customWidth="1"/>
    <col min="4" max="4" width="23.35546875" customWidth="1"/>
    <col min="5" max="5" width="27.0703125" customWidth="1"/>
    <col min="6" max="6" width="16.35546875" customWidth="1"/>
    <col min="10" max="10" width="9.140625" customWidth="1"/>
    <col min="12" max="12" width="15.5" customWidth="1"/>
    <col min="13" max="14" width="18.2109375" customWidth="1"/>
    <col min="15" max="15" width="17" customWidth="1"/>
    <col min="16" max="16" width="12.78515625" customWidth="1"/>
  </cols>
  <sheetData>
    <row r="1" spans="1:17" ht="31.3" customHeight="1" x14ac:dyDescent="0.35">
      <c r="A1" s="1" t="s">
        <v>0</v>
      </c>
      <c r="B1" s="14" t="s">
        <v>1</v>
      </c>
      <c r="C1" s="14"/>
      <c r="D1" s="14"/>
      <c r="E1" s="1" t="s">
        <v>2</v>
      </c>
      <c r="F1" s="15"/>
      <c r="G1" s="15"/>
      <c r="H1" s="1"/>
      <c r="I1" s="1"/>
      <c r="J1" s="1"/>
      <c r="K1" s="1"/>
      <c r="L1" s="1"/>
      <c r="M1" s="1"/>
      <c r="N1" s="1"/>
      <c r="O1" s="1"/>
      <c r="P1" s="5"/>
      <c r="Q1" s="6"/>
    </row>
    <row r="2" spans="1:17" ht="35.6" customHeight="1" x14ac:dyDescent="0.35">
      <c r="A2" s="1" t="s">
        <v>3</v>
      </c>
      <c r="B2" s="15">
        <f>SUM(O4:O38)</f>
        <v>120</v>
      </c>
      <c r="C2" s="15"/>
      <c r="D2" s="1" t="s">
        <v>4</v>
      </c>
      <c r="E2" s="2">
        <v>44378</v>
      </c>
      <c r="F2" s="15" t="s">
        <v>5</v>
      </c>
      <c r="G2" s="15"/>
      <c r="H2" s="16">
        <v>44438</v>
      </c>
      <c r="I2" s="16"/>
      <c r="J2" s="16"/>
      <c r="K2" s="1"/>
      <c r="L2" s="1"/>
      <c r="M2" s="1"/>
      <c r="N2" s="1"/>
      <c r="O2" s="1"/>
      <c r="P2" s="5"/>
      <c r="Q2" s="6"/>
    </row>
    <row r="3" spans="1:17" ht="26.25" customHeight="1" x14ac:dyDescent="0.35">
      <c r="A3" s="3" t="s">
        <v>6</v>
      </c>
      <c r="B3" s="3" t="s">
        <v>7</v>
      </c>
      <c r="C3" s="3" t="s">
        <v>8</v>
      </c>
      <c r="D3" s="3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7" t="s">
        <v>17</v>
      </c>
      <c r="M3" s="8" t="s">
        <v>18</v>
      </c>
      <c r="N3" s="8" t="s">
        <v>19</v>
      </c>
      <c r="O3" s="8" t="s">
        <v>20</v>
      </c>
      <c r="P3" s="9" t="s">
        <v>21</v>
      </c>
      <c r="Q3" s="6"/>
    </row>
    <row r="4" spans="1:17" x14ac:dyDescent="0.35">
      <c r="A4" s="15">
        <v>1</v>
      </c>
      <c r="B4" s="15" t="s">
        <v>12</v>
      </c>
      <c r="C4" s="1" t="s">
        <v>22</v>
      </c>
      <c r="D4" s="1" t="s">
        <v>23</v>
      </c>
      <c r="E4" s="1" t="s">
        <v>24</v>
      </c>
      <c r="F4" s="1"/>
      <c r="G4" s="1" t="s">
        <v>25</v>
      </c>
      <c r="H4" s="1"/>
      <c r="I4" s="1"/>
      <c r="J4" s="1"/>
      <c r="K4" s="1"/>
      <c r="L4" s="13" t="s">
        <v>26</v>
      </c>
      <c r="M4" s="2" t="s">
        <v>27</v>
      </c>
      <c r="N4" s="1">
        <v>1</v>
      </c>
      <c r="O4" s="1">
        <v>1</v>
      </c>
      <c r="P4" s="5">
        <f>O4*1200</f>
        <v>1200</v>
      </c>
      <c r="Q4" s="6"/>
    </row>
    <row r="5" spans="1:17" x14ac:dyDescent="0.35">
      <c r="A5" s="15"/>
      <c r="B5" s="15"/>
      <c r="C5" s="1" t="s">
        <v>12</v>
      </c>
      <c r="D5" s="1" t="s">
        <v>28</v>
      </c>
      <c r="E5" s="1" t="s">
        <v>24</v>
      </c>
      <c r="F5" s="1"/>
      <c r="G5" s="1" t="s">
        <v>25</v>
      </c>
      <c r="H5" s="1"/>
      <c r="I5" s="1"/>
      <c r="J5" s="1"/>
      <c r="K5" s="1"/>
      <c r="L5" s="13" t="s">
        <v>27</v>
      </c>
      <c r="M5" s="2" t="s">
        <v>29</v>
      </c>
      <c r="N5" s="1">
        <v>1</v>
      </c>
      <c r="O5" s="1">
        <v>2</v>
      </c>
      <c r="P5" s="10">
        <f t="shared" ref="P5:P38" si="0">O5*1200</f>
        <v>2400</v>
      </c>
      <c r="Q5" s="6"/>
    </row>
    <row r="6" spans="1:17" x14ac:dyDescent="0.35">
      <c r="A6" s="15"/>
      <c r="B6" s="15"/>
      <c r="C6" s="1" t="s">
        <v>30</v>
      </c>
      <c r="D6" s="1" t="s">
        <v>31</v>
      </c>
      <c r="E6" s="1" t="s">
        <v>24</v>
      </c>
      <c r="F6" s="1"/>
      <c r="G6" s="1" t="s">
        <v>25</v>
      </c>
      <c r="H6" s="1"/>
      <c r="I6" s="1"/>
      <c r="J6" s="1"/>
      <c r="K6" s="1"/>
      <c r="L6" s="13" t="s">
        <v>29</v>
      </c>
      <c r="M6" s="2" t="s">
        <v>32</v>
      </c>
      <c r="N6" s="1">
        <v>1</v>
      </c>
      <c r="O6" s="1">
        <v>1</v>
      </c>
      <c r="P6" s="10">
        <f t="shared" si="0"/>
        <v>1200</v>
      </c>
      <c r="Q6" s="6"/>
    </row>
    <row r="7" spans="1:17" x14ac:dyDescent="0.35">
      <c r="A7" s="15">
        <v>2</v>
      </c>
      <c r="B7" s="15" t="s">
        <v>33</v>
      </c>
      <c r="C7" s="1" t="s">
        <v>34</v>
      </c>
      <c r="D7" s="1" t="s">
        <v>35</v>
      </c>
      <c r="E7" s="1" t="s">
        <v>24</v>
      </c>
      <c r="F7" s="1" t="s">
        <v>25</v>
      </c>
      <c r="G7" s="1"/>
      <c r="H7" s="1"/>
      <c r="I7" s="1"/>
      <c r="J7" s="1"/>
      <c r="K7" s="1"/>
      <c r="L7" s="13" t="s">
        <v>32</v>
      </c>
      <c r="M7" s="2" t="s">
        <v>36</v>
      </c>
      <c r="N7" s="1">
        <v>1</v>
      </c>
      <c r="O7" s="1">
        <v>2</v>
      </c>
      <c r="P7" s="10">
        <f t="shared" si="0"/>
        <v>2400</v>
      </c>
      <c r="Q7" s="6"/>
    </row>
    <row r="8" spans="1:17" ht="45.45" customHeight="1" x14ac:dyDescent="0.35">
      <c r="A8" s="15"/>
      <c r="B8" s="15"/>
      <c r="C8" s="1" t="s">
        <v>37</v>
      </c>
      <c r="D8" s="1" t="s">
        <v>38</v>
      </c>
      <c r="E8" s="1" t="s">
        <v>24</v>
      </c>
      <c r="F8" s="1" t="s">
        <v>25</v>
      </c>
      <c r="G8" s="1"/>
      <c r="H8" s="1"/>
      <c r="I8" s="1"/>
      <c r="J8" s="1"/>
      <c r="K8" s="1"/>
      <c r="L8" s="13" t="s">
        <v>36</v>
      </c>
      <c r="M8" s="2" t="s">
        <v>39</v>
      </c>
      <c r="N8" s="1">
        <v>1</v>
      </c>
      <c r="O8" s="1">
        <v>1</v>
      </c>
      <c r="P8" s="10">
        <f t="shared" si="0"/>
        <v>1200</v>
      </c>
      <c r="Q8" s="6"/>
    </row>
    <row r="9" spans="1:17" ht="42.45" x14ac:dyDescent="0.35">
      <c r="A9" s="15"/>
      <c r="B9" s="15"/>
      <c r="C9" s="15" t="s">
        <v>40</v>
      </c>
      <c r="D9" s="1" t="s">
        <v>41</v>
      </c>
      <c r="E9" s="1" t="s">
        <v>24</v>
      </c>
      <c r="F9" s="1" t="s">
        <v>25</v>
      </c>
      <c r="G9" s="1"/>
      <c r="H9" s="1"/>
      <c r="I9" s="1"/>
      <c r="J9" s="1"/>
      <c r="K9" s="1"/>
      <c r="L9" s="13" t="s">
        <v>39</v>
      </c>
      <c r="M9" s="2" t="s">
        <v>42</v>
      </c>
      <c r="N9" s="1">
        <v>1</v>
      </c>
      <c r="O9" s="1">
        <v>1</v>
      </c>
      <c r="P9" s="10">
        <f t="shared" si="0"/>
        <v>1200</v>
      </c>
      <c r="Q9" s="6"/>
    </row>
    <row r="10" spans="1:17" x14ac:dyDescent="0.35">
      <c r="A10" s="15"/>
      <c r="B10" s="15"/>
      <c r="C10" s="15"/>
      <c r="D10" s="1" t="s">
        <v>43</v>
      </c>
      <c r="E10" s="1" t="s">
        <v>128</v>
      </c>
      <c r="F10" s="1" t="s">
        <v>25</v>
      </c>
      <c r="G10" s="1"/>
      <c r="H10" s="1"/>
      <c r="I10" s="1"/>
      <c r="J10" s="1"/>
      <c r="K10" s="1"/>
      <c r="L10" s="13" t="s">
        <v>42</v>
      </c>
      <c r="M10" s="2" t="s">
        <v>44</v>
      </c>
      <c r="N10" s="1">
        <v>2</v>
      </c>
      <c r="O10" s="1">
        <v>2</v>
      </c>
      <c r="P10" s="10">
        <f t="shared" si="0"/>
        <v>2400</v>
      </c>
      <c r="Q10" s="6"/>
    </row>
    <row r="11" spans="1:17" ht="14.15" customHeight="1" x14ac:dyDescent="0.35">
      <c r="A11" s="18">
        <v>3</v>
      </c>
      <c r="B11" s="18" t="s">
        <v>45</v>
      </c>
      <c r="C11" s="18" t="s">
        <v>46</v>
      </c>
      <c r="D11" s="1" t="s">
        <v>47</v>
      </c>
      <c r="E11" s="1" t="s">
        <v>48</v>
      </c>
      <c r="F11" s="5"/>
      <c r="G11" s="5"/>
      <c r="H11" s="1" t="s">
        <v>25</v>
      </c>
      <c r="I11" s="1" t="s">
        <v>25</v>
      </c>
      <c r="J11" s="5"/>
      <c r="K11" s="5"/>
      <c r="L11" s="13" t="s">
        <v>44</v>
      </c>
      <c r="M11" s="2" t="s">
        <v>49</v>
      </c>
      <c r="N11" s="5">
        <v>2</v>
      </c>
      <c r="O11" s="1">
        <v>4</v>
      </c>
      <c r="P11" s="10">
        <f t="shared" si="0"/>
        <v>4800</v>
      </c>
      <c r="Q11" s="6"/>
    </row>
    <row r="12" spans="1:17" ht="14.15" customHeight="1" x14ac:dyDescent="0.35">
      <c r="A12" s="18"/>
      <c r="B12" s="18"/>
      <c r="C12" s="18"/>
      <c r="D12" s="1" t="s">
        <v>50</v>
      </c>
      <c r="E12" s="1" t="s">
        <v>51</v>
      </c>
      <c r="F12" s="5"/>
      <c r="G12" s="5"/>
      <c r="H12" s="1" t="s">
        <v>25</v>
      </c>
      <c r="I12" s="1" t="s">
        <v>25</v>
      </c>
      <c r="J12" s="5"/>
      <c r="K12" s="5"/>
      <c r="L12" s="13" t="s">
        <v>49</v>
      </c>
      <c r="M12" s="2" t="s">
        <v>52</v>
      </c>
      <c r="N12" s="5">
        <v>2</v>
      </c>
      <c r="O12" s="1">
        <v>4</v>
      </c>
      <c r="P12" s="10">
        <f t="shared" si="0"/>
        <v>4800</v>
      </c>
      <c r="Q12" s="6"/>
    </row>
    <row r="13" spans="1:17" ht="14.15" customHeight="1" x14ac:dyDescent="0.35">
      <c r="A13" s="18"/>
      <c r="B13" s="18"/>
      <c r="C13" s="18"/>
      <c r="D13" s="1" t="s">
        <v>53</v>
      </c>
      <c r="E13" s="1" t="s">
        <v>48</v>
      </c>
      <c r="F13" s="5"/>
      <c r="G13" s="5"/>
      <c r="H13" s="1" t="s">
        <v>25</v>
      </c>
      <c r="I13" s="1" t="s">
        <v>25</v>
      </c>
      <c r="J13" s="5"/>
      <c r="K13" s="5"/>
      <c r="L13" s="13" t="s">
        <v>52</v>
      </c>
      <c r="M13" s="2" t="s">
        <v>54</v>
      </c>
      <c r="N13" s="5">
        <v>2</v>
      </c>
      <c r="O13" s="1">
        <v>2</v>
      </c>
      <c r="P13" s="10">
        <f t="shared" si="0"/>
        <v>2400</v>
      </c>
      <c r="Q13" s="6"/>
    </row>
    <row r="14" spans="1:17" x14ac:dyDescent="0.35">
      <c r="A14" s="18"/>
      <c r="B14" s="18"/>
      <c r="C14" s="18" t="s">
        <v>55</v>
      </c>
      <c r="D14" s="1" t="s">
        <v>56</v>
      </c>
      <c r="E14" s="1" t="s">
        <v>131</v>
      </c>
      <c r="F14" s="5"/>
      <c r="G14" s="5"/>
      <c r="H14" s="1" t="s">
        <v>25</v>
      </c>
      <c r="I14" s="1" t="s">
        <v>25</v>
      </c>
      <c r="J14" s="5"/>
      <c r="K14" s="5"/>
      <c r="L14" s="13" t="s">
        <v>54</v>
      </c>
      <c r="M14" s="2" t="s">
        <v>58</v>
      </c>
      <c r="N14" s="5">
        <v>4</v>
      </c>
      <c r="O14" s="1">
        <v>12</v>
      </c>
      <c r="P14" s="10">
        <f t="shared" si="0"/>
        <v>14400</v>
      </c>
      <c r="Q14" s="6"/>
    </row>
    <row r="15" spans="1:17" x14ac:dyDescent="0.35">
      <c r="A15" s="18"/>
      <c r="B15" s="18"/>
      <c r="C15" s="18"/>
      <c r="D15" s="1" t="s">
        <v>59</v>
      </c>
      <c r="E15" s="12" t="s">
        <v>131</v>
      </c>
      <c r="F15" s="5"/>
      <c r="G15" s="5"/>
      <c r="H15" s="1" t="s">
        <v>25</v>
      </c>
      <c r="I15" s="1" t="s">
        <v>25</v>
      </c>
      <c r="J15" s="5"/>
      <c r="K15" s="5"/>
      <c r="L15" s="13" t="s">
        <v>127</v>
      </c>
      <c r="M15" s="2" t="s">
        <v>60</v>
      </c>
      <c r="N15" s="5">
        <v>4</v>
      </c>
      <c r="O15" s="1">
        <v>20</v>
      </c>
      <c r="P15" s="10">
        <f t="shared" si="0"/>
        <v>24000</v>
      </c>
      <c r="Q15" s="6"/>
    </row>
    <row r="16" spans="1:17" x14ac:dyDescent="0.35">
      <c r="A16" s="18"/>
      <c r="B16" s="18"/>
      <c r="C16" s="18"/>
      <c r="D16" s="1" t="s">
        <v>61</v>
      </c>
      <c r="E16" s="12" t="s">
        <v>131</v>
      </c>
      <c r="F16" s="5"/>
      <c r="G16" s="5"/>
      <c r="H16" s="1" t="s">
        <v>25</v>
      </c>
      <c r="I16" s="1" t="s">
        <v>25</v>
      </c>
      <c r="J16" s="5"/>
      <c r="K16" s="5"/>
      <c r="L16" s="13" t="s">
        <v>62</v>
      </c>
      <c r="M16" s="2" t="s">
        <v>63</v>
      </c>
      <c r="N16" s="5">
        <v>4</v>
      </c>
      <c r="O16" s="1">
        <v>20</v>
      </c>
      <c r="P16" s="10">
        <f>O16*1200</f>
        <v>24000</v>
      </c>
      <c r="Q16" s="6"/>
    </row>
    <row r="17" spans="1:17" x14ac:dyDescent="0.35">
      <c r="A17" s="18"/>
      <c r="B17" s="18"/>
      <c r="C17" s="18"/>
      <c r="D17" s="1" t="s">
        <v>64</v>
      </c>
      <c r="E17" s="1" t="s">
        <v>129</v>
      </c>
      <c r="F17" s="5"/>
      <c r="G17" s="5"/>
      <c r="H17" s="1" t="s">
        <v>25</v>
      </c>
      <c r="I17" s="1" t="s">
        <v>25</v>
      </c>
      <c r="J17" s="5"/>
      <c r="K17" s="5"/>
      <c r="L17" s="13" t="s">
        <v>65</v>
      </c>
      <c r="M17" s="2" t="s">
        <v>66</v>
      </c>
      <c r="N17" s="5">
        <v>2</v>
      </c>
      <c r="O17" s="1">
        <v>4</v>
      </c>
      <c r="P17" s="11">
        <f>O17*1200</f>
        <v>4800</v>
      </c>
      <c r="Q17" s="6"/>
    </row>
    <row r="18" spans="1:17" x14ac:dyDescent="0.35">
      <c r="A18" s="18"/>
      <c r="B18" s="18"/>
      <c r="C18" s="18"/>
      <c r="D18" s="1" t="s">
        <v>67</v>
      </c>
      <c r="E18" s="1" t="s">
        <v>48</v>
      </c>
      <c r="F18" s="5"/>
      <c r="G18" s="5"/>
      <c r="H18" s="1" t="s">
        <v>25</v>
      </c>
      <c r="I18" s="1" t="s">
        <v>25</v>
      </c>
      <c r="J18" s="5"/>
      <c r="K18" s="5"/>
      <c r="L18" s="13" t="s">
        <v>66</v>
      </c>
      <c r="M18" s="2" t="s">
        <v>63</v>
      </c>
      <c r="N18" s="5">
        <v>2</v>
      </c>
      <c r="O18" s="1">
        <v>2</v>
      </c>
      <c r="P18" s="10">
        <f t="shared" si="0"/>
        <v>2400</v>
      </c>
      <c r="Q18" s="6"/>
    </row>
    <row r="19" spans="1:17" x14ac:dyDescent="0.35">
      <c r="A19" s="18"/>
      <c r="B19" s="18"/>
      <c r="C19" s="18" t="s">
        <v>68</v>
      </c>
      <c r="D19" s="1" t="s">
        <v>69</v>
      </c>
      <c r="E19" s="1" t="s">
        <v>48</v>
      </c>
      <c r="F19" s="5"/>
      <c r="G19" s="5"/>
      <c r="H19" s="1" t="s">
        <v>25</v>
      </c>
      <c r="I19" s="1" t="s">
        <v>25</v>
      </c>
      <c r="J19" s="5"/>
      <c r="K19" s="5"/>
      <c r="L19" s="13" t="s">
        <v>63</v>
      </c>
      <c r="M19" s="2" t="s">
        <v>70</v>
      </c>
      <c r="N19" s="5">
        <v>2</v>
      </c>
      <c r="O19" s="1">
        <v>2</v>
      </c>
      <c r="P19" s="10">
        <f t="shared" si="0"/>
        <v>2400</v>
      </c>
      <c r="Q19" s="6"/>
    </row>
    <row r="20" spans="1:17" x14ac:dyDescent="0.35">
      <c r="A20" s="18"/>
      <c r="B20" s="18"/>
      <c r="C20" s="18"/>
      <c r="D20" s="1" t="s">
        <v>71</v>
      </c>
      <c r="E20" s="1" t="s">
        <v>48</v>
      </c>
      <c r="F20" s="5"/>
      <c r="G20" s="5"/>
      <c r="H20" s="1" t="s">
        <v>25</v>
      </c>
      <c r="I20" s="1" t="s">
        <v>25</v>
      </c>
      <c r="J20" s="5"/>
      <c r="K20" s="5"/>
      <c r="L20" s="13" t="s">
        <v>70</v>
      </c>
      <c r="M20" s="2" t="s">
        <v>72</v>
      </c>
      <c r="N20" s="5">
        <v>2</v>
      </c>
      <c r="O20" s="1">
        <v>2</v>
      </c>
      <c r="P20" s="10">
        <f t="shared" si="0"/>
        <v>2400</v>
      </c>
      <c r="Q20" s="6"/>
    </row>
    <row r="21" spans="1:17" x14ac:dyDescent="0.35">
      <c r="A21" s="18"/>
      <c r="B21" s="18"/>
      <c r="C21" s="18" t="s">
        <v>73</v>
      </c>
      <c r="D21" s="1" t="s">
        <v>74</v>
      </c>
      <c r="E21" s="1" t="s">
        <v>130</v>
      </c>
      <c r="F21" s="5"/>
      <c r="G21" s="5"/>
      <c r="H21" s="1" t="s">
        <v>25</v>
      </c>
      <c r="I21" s="1" t="s">
        <v>25</v>
      </c>
      <c r="J21" s="5"/>
      <c r="K21" s="5"/>
      <c r="L21" s="13" t="s">
        <v>72</v>
      </c>
      <c r="M21" s="2" t="s">
        <v>76</v>
      </c>
      <c r="N21" s="5">
        <v>2</v>
      </c>
      <c r="O21" s="1">
        <v>2</v>
      </c>
      <c r="P21" s="10">
        <f t="shared" si="0"/>
        <v>2400</v>
      </c>
      <c r="Q21" s="6"/>
    </row>
    <row r="22" spans="1:17" x14ac:dyDescent="0.35">
      <c r="A22" s="18"/>
      <c r="B22" s="18"/>
      <c r="C22" s="18"/>
      <c r="D22" s="1" t="s">
        <v>77</v>
      </c>
      <c r="E22" s="1" t="s">
        <v>130</v>
      </c>
      <c r="F22" s="5"/>
      <c r="G22" s="5"/>
      <c r="H22" s="1" t="s">
        <v>25</v>
      </c>
      <c r="I22" s="1" t="s">
        <v>25</v>
      </c>
      <c r="J22" s="5"/>
      <c r="K22" s="5"/>
      <c r="L22" s="13" t="s">
        <v>76</v>
      </c>
      <c r="M22" s="2" t="s">
        <v>78</v>
      </c>
      <c r="N22" s="5">
        <v>2</v>
      </c>
      <c r="O22" s="1">
        <v>2</v>
      </c>
      <c r="P22" s="10">
        <f t="shared" si="0"/>
        <v>2400</v>
      </c>
      <c r="Q22" s="6"/>
    </row>
    <row r="23" spans="1:17" x14ac:dyDescent="0.35">
      <c r="A23" s="18"/>
      <c r="B23" s="18"/>
      <c r="C23" s="18"/>
      <c r="D23" s="1" t="s">
        <v>79</v>
      </c>
      <c r="E23" s="12" t="s">
        <v>130</v>
      </c>
      <c r="F23" s="5"/>
      <c r="G23" s="5"/>
      <c r="H23" s="1" t="s">
        <v>25</v>
      </c>
      <c r="I23" s="1" t="s">
        <v>25</v>
      </c>
      <c r="J23" s="5"/>
      <c r="K23" s="5"/>
      <c r="L23" s="13" t="s">
        <v>78</v>
      </c>
      <c r="M23" s="2" t="s">
        <v>80</v>
      </c>
      <c r="N23" s="5">
        <v>2</v>
      </c>
      <c r="O23" s="1">
        <v>2</v>
      </c>
      <c r="P23" s="10">
        <f t="shared" si="0"/>
        <v>2400</v>
      </c>
      <c r="Q23" s="6"/>
    </row>
    <row r="24" spans="1:17" x14ac:dyDescent="0.35">
      <c r="A24" s="18"/>
      <c r="B24" s="18"/>
      <c r="C24" s="18" t="s">
        <v>81</v>
      </c>
      <c r="D24" s="1" t="s">
        <v>82</v>
      </c>
      <c r="E24" s="1" t="s">
        <v>75</v>
      </c>
      <c r="F24" s="5"/>
      <c r="G24" s="5"/>
      <c r="H24" s="1" t="s">
        <v>25</v>
      </c>
      <c r="I24" s="1" t="s">
        <v>25</v>
      </c>
      <c r="J24" s="5"/>
      <c r="K24" s="5"/>
      <c r="L24" s="13" t="s">
        <v>80</v>
      </c>
      <c r="M24" s="2" t="s">
        <v>83</v>
      </c>
      <c r="N24" s="5">
        <v>1</v>
      </c>
      <c r="O24" s="1">
        <v>1</v>
      </c>
      <c r="P24" s="10">
        <f t="shared" si="0"/>
        <v>1200</v>
      </c>
      <c r="Q24" s="6"/>
    </row>
    <row r="25" spans="1:17" x14ac:dyDescent="0.35">
      <c r="A25" s="18"/>
      <c r="B25" s="18"/>
      <c r="C25" s="18"/>
      <c r="D25" s="1" t="s">
        <v>84</v>
      </c>
      <c r="E25" s="1" t="s">
        <v>130</v>
      </c>
      <c r="F25" s="5"/>
      <c r="G25" s="5"/>
      <c r="H25" s="1" t="s">
        <v>25</v>
      </c>
      <c r="I25" s="1" t="s">
        <v>25</v>
      </c>
      <c r="J25" s="5"/>
      <c r="K25" s="5"/>
      <c r="L25" s="13" t="s">
        <v>83</v>
      </c>
      <c r="M25" s="2" t="s">
        <v>85</v>
      </c>
      <c r="N25" s="5">
        <v>2</v>
      </c>
      <c r="O25" s="1">
        <v>2</v>
      </c>
      <c r="P25" s="10">
        <f t="shared" si="0"/>
        <v>2400</v>
      </c>
      <c r="Q25" s="6"/>
    </row>
    <row r="26" spans="1:17" x14ac:dyDescent="0.35">
      <c r="A26" s="18"/>
      <c r="B26" s="18"/>
      <c r="C26" s="18"/>
      <c r="D26" s="1" t="s">
        <v>86</v>
      </c>
      <c r="E26" s="12" t="s">
        <v>130</v>
      </c>
      <c r="F26" s="5"/>
      <c r="G26" s="5"/>
      <c r="H26" s="1" t="s">
        <v>25</v>
      </c>
      <c r="I26" s="1" t="s">
        <v>25</v>
      </c>
      <c r="J26" s="5"/>
      <c r="K26" s="5"/>
      <c r="L26" s="13" t="s">
        <v>85</v>
      </c>
      <c r="M26" s="2" t="s">
        <v>87</v>
      </c>
      <c r="N26" s="5">
        <v>2</v>
      </c>
      <c r="O26" s="1">
        <v>2</v>
      </c>
      <c r="P26" s="10">
        <f t="shared" si="0"/>
        <v>2400</v>
      </c>
      <c r="Q26" s="6"/>
    </row>
    <row r="27" spans="1:17" x14ac:dyDescent="0.35">
      <c r="A27" s="18"/>
      <c r="B27" s="18"/>
      <c r="C27" s="18"/>
      <c r="D27" s="1" t="s">
        <v>88</v>
      </c>
      <c r="E27" s="1" t="s">
        <v>75</v>
      </c>
      <c r="F27" s="5"/>
      <c r="G27" s="5"/>
      <c r="H27" s="1" t="s">
        <v>25</v>
      </c>
      <c r="I27" s="1" t="s">
        <v>25</v>
      </c>
      <c r="J27" s="5"/>
      <c r="K27" s="5"/>
      <c r="L27" s="13" t="s">
        <v>87</v>
      </c>
      <c r="M27" s="2" t="s">
        <v>89</v>
      </c>
      <c r="N27" s="5">
        <v>1</v>
      </c>
      <c r="O27" s="1">
        <v>1</v>
      </c>
      <c r="P27" s="10">
        <f t="shared" si="0"/>
        <v>1200</v>
      </c>
      <c r="Q27" s="6"/>
    </row>
    <row r="28" spans="1:17" x14ac:dyDescent="0.35">
      <c r="A28" s="18">
        <v>4</v>
      </c>
      <c r="B28" s="18" t="s">
        <v>90</v>
      </c>
      <c r="C28" s="5" t="s">
        <v>91</v>
      </c>
      <c r="D28" s="5" t="s">
        <v>92</v>
      </c>
      <c r="E28" s="1" t="s">
        <v>93</v>
      </c>
      <c r="F28" s="5"/>
      <c r="G28" s="5"/>
      <c r="H28" s="5"/>
      <c r="I28" s="5"/>
      <c r="J28" s="1" t="s">
        <v>25</v>
      </c>
      <c r="K28" s="5"/>
      <c r="L28" s="13" t="s">
        <v>89</v>
      </c>
      <c r="M28" s="2" t="s">
        <v>94</v>
      </c>
      <c r="N28" s="5">
        <v>2</v>
      </c>
      <c r="O28" s="1">
        <v>2</v>
      </c>
      <c r="P28" s="10">
        <f t="shared" si="0"/>
        <v>2400</v>
      </c>
      <c r="Q28" s="6"/>
    </row>
    <row r="29" spans="1:17" x14ac:dyDescent="0.35">
      <c r="A29" s="18"/>
      <c r="B29" s="18"/>
      <c r="C29" s="18" t="s">
        <v>95</v>
      </c>
      <c r="D29" s="5" t="s">
        <v>96</v>
      </c>
      <c r="E29" s="1" t="s">
        <v>93</v>
      </c>
      <c r="F29" s="5"/>
      <c r="G29" s="5"/>
      <c r="H29" s="5"/>
      <c r="I29" s="5"/>
      <c r="J29" s="1" t="s">
        <v>25</v>
      </c>
      <c r="K29" s="5"/>
      <c r="L29" s="13" t="s">
        <v>94</v>
      </c>
      <c r="M29" s="2" t="s">
        <v>97</v>
      </c>
      <c r="N29" s="5">
        <v>2</v>
      </c>
      <c r="O29" s="1">
        <v>2</v>
      </c>
      <c r="P29" s="10">
        <f t="shared" si="0"/>
        <v>2400</v>
      </c>
      <c r="Q29" s="6"/>
    </row>
    <row r="30" spans="1:17" x14ac:dyDescent="0.35">
      <c r="A30" s="18"/>
      <c r="B30" s="18"/>
      <c r="C30" s="18"/>
      <c r="D30" s="5" t="s">
        <v>98</v>
      </c>
      <c r="E30" s="1" t="s">
        <v>93</v>
      </c>
      <c r="F30" s="5"/>
      <c r="G30" s="5"/>
      <c r="H30" s="5"/>
      <c r="I30" s="5"/>
      <c r="J30" s="1" t="s">
        <v>25</v>
      </c>
      <c r="K30" s="5"/>
      <c r="L30" s="13" t="s">
        <v>97</v>
      </c>
      <c r="M30" s="2" t="s">
        <v>99</v>
      </c>
      <c r="N30" s="5">
        <v>2</v>
      </c>
      <c r="O30" s="1">
        <v>2</v>
      </c>
      <c r="P30" s="10">
        <f t="shared" si="0"/>
        <v>2400</v>
      </c>
      <c r="Q30" s="6"/>
    </row>
    <row r="31" spans="1:17" x14ac:dyDescent="0.35">
      <c r="A31" s="18"/>
      <c r="B31" s="18"/>
      <c r="C31" s="18" t="s">
        <v>100</v>
      </c>
      <c r="D31" s="5" t="s">
        <v>101</v>
      </c>
      <c r="E31" s="1" t="s">
        <v>93</v>
      </c>
      <c r="F31" s="5"/>
      <c r="G31" s="5"/>
      <c r="H31" s="5"/>
      <c r="I31" s="5"/>
      <c r="J31" s="1" t="s">
        <v>25</v>
      </c>
      <c r="K31" s="5"/>
      <c r="L31" s="13" t="s">
        <v>99</v>
      </c>
      <c r="M31" s="2" t="s">
        <v>102</v>
      </c>
      <c r="N31" s="5">
        <v>2</v>
      </c>
      <c r="O31" s="1">
        <v>2</v>
      </c>
      <c r="P31" s="10">
        <f t="shared" si="0"/>
        <v>2400</v>
      </c>
      <c r="Q31" s="6"/>
    </row>
    <row r="32" spans="1:17" x14ac:dyDescent="0.35">
      <c r="A32" s="18"/>
      <c r="B32" s="18"/>
      <c r="C32" s="18"/>
      <c r="D32" s="5" t="s">
        <v>103</v>
      </c>
      <c r="E32" s="1" t="s">
        <v>93</v>
      </c>
      <c r="F32" s="5"/>
      <c r="G32" s="5"/>
      <c r="H32" s="5"/>
      <c r="I32" s="5"/>
      <c r="J32" s="1" t="s">
        <v>25</v>
      </c>
      <c r="K32" s="5"/>
      <c r="L32" s="13" t="s">
        <v>102</v>
      </c>
      <c r="M32" s="2" t="s">
        <v>104</v>
      </c>
      <c r="N32" s="5">
        <v>2</v>
      </c>
      <c r="O32" s="1">
        <v>2</v>
      </c>
      <c r="P32" s="10">
        <f t="shared" si="0"/>
        <v>2400</v>
      </c>
      <c r="Q32" s="6"/>
    </row>
    <row r="33" spans="1:17" x14ac:dyDescent="0.35">
      <c r="A33" s="18"/>
      <c r="B33" s="18"/>
      <c r="C33" s="18"/>
      <c r="D33" s="5" t="s">
        <v>105</v>
      </c>
      <c r="E33" s="1" t="s">
        <v>93</v>
      </c>
      <c r="F33" s="5"/>
      <c r="G33" s="5"/>
      <c r="H33" s="5"/>
      <c r="I33" s="5"/>
      <c r="J33" s="1" t="s">
        <v>25</v>
      </c>
      <c r="K33" s="5"/>
      <c r="L33" s="13" t="s">
        <v>104</v>
      </c>
      <c r="M33" s="2" t="s">
        <v>106</v>
      </c>
      <c r="N33" s="5">
        <v>2</v>
      </c>
      <c r="O33" s="1">
        <v>2</v>
      </c>
      <c r="P33" s="10">
        <f t="shared" si="0"/>
        <v>2400</v>
      </c>
      <c r="Q33" s="6"/>
    </row>
    <row r="34" spans="1:17" x14ac:dyDescent="0.35">
      <c r="A34" s="18"/>
      <c r="B34" s="18"/>
      <c r="C34" s="18" t="s">
        <v>107</v>
      </c>
      <c r="D34" s="5" t="s">
        <v>108</v>
      </c>
      <c r="E34" s="1" t="s">
        <v>93</v>
      </c>
      <c r="F34" s="5"/>
      <c r="G34" s="5"/>
      <c r="H34" s="5"/>
      <c r="I34" s="5"/>
      <c r="J34" s="1" t="s">
        <v>25</v>
      </c>
      <c r="K34" s="5"/>
      <c r="L34" s="13" t="s">
        <v>106</v>
      </c>
      <c r="M34" s="2" t="s">
        <v>109</v>
      </c>
      <c r="N34" s="5">
        <v>2</v>
      </c>
      <c r="O34" s="1">
        <v>2</v>
      </c>
      <c r="P34" s="10">
        <f t="shared" si="0"/>
        <v>2400</v>
      </c>
      <c r="Q34" s="6"/>
    </row>
    <row r="35" spans="1:17" x14ac:dyDescent="0.35">
      <c r="A35" s="18"/>
      <c r="B35" s="18"/>
      <c r="C35" s="18"/>
      <c r="D35" s="5" t="s">
        <v>110</v>
      </c>
      <c r="E35" s="1" t="s">
        <v>93</v>
      </c>
      <c r="F35" s="5"/>
      <c r="G35" s="5"/>
      <c r="H35" s="5"/>
      <c r="I35" s="5"/>
      <c r="J35" s="1" t="s">
        <v>25</v>
      </c>
      <c r="K35" s="5"/>
      <c r="L35" s="13" t="s">
        <v>109</v>
      </c>
      <c r="M35" s="2" t="s">
        <v>111</v>
      </c>
      <c r="N35" s="5">
        <v>2</v>
      </c>
      <c r="O35" s="1">
        <v>2</v>
      </c>
      <c r="P35" s="10">
        <f t="shared" si="0"/>
        <v>2400</v>
      </c>
      <c r="Q35" s="6"/>
    </row>
    <row r="36" spans="1:17" x14ac:dyDescent="0.35">
      <c r="A36" s="18">
        <v>5</v>
      </c>
      <c r="B36" s="18" t="s">
        <v>16</v>
      </c>
      <c r="C36" s="5" t="s">
        <v>112</v>
      </c>
      <c r="D36" s="5" t="s">
        <v>113</v>
      </c>
      <c r="E36" s="1" t="s">
        <v>57</v>
      </c>
      <c r="F36" s="5"/>
      <c r="G36" s="5"/>
      <c r="H36" s="5"/>
      <c r="I36" s="5"/>
      <c r="J36" s="5"/>
      <c r="K36" s="1" t="s">
        <v>25</v>
      </c>
      <c r="L36" s="13" t="s">
        <v>111</v>
      </c>
      <c r="M36" s="2" t="s">
        <v>114</v>
      </c>
      <c r="N36" s="5">
        <v>1</v>
      </c>
      <c r="O36" s="1">
        <v>2</v>
      </c>
      <c r="P36" s="10">
        <f t="shared" si="0"/>
        <v>2400</v>
      </c>
      <c r="Q36" s="6"/>
    </row>
    <row r="37" spans="1:17" x14ac:dyDescent="0.35">
      <c r="A37" s="18"/>
      <c r="B37" s="18"/>
      <c r="C37" s="5" t="s">
        <v>115</v>
      </c>
      <c r="D37" s="5" t="s">
        <v>116</v>
      </c>
      <c r="E37" s="1" t="s">
        <v>57</v>
      </c>
      <c r="F37" s="5"/>
      <c r="G37" s="5"/>
      <c r="H37" s="5"/>
      <c r="I37" s="5"/>
      <c r="J37" s="5"/>
      <c r="K37" s="1" t="s">
        <v>25</v>
      </c>
      <c r="L37" s="13" t="s">
        <v>114</v>
      </c>
      <c r="M37" s="2" t="s">
        <v>117</v>
      </c>
      <c r="N37" s="5">
        <v>1</v>
      </c>
      <c r="O37" s="1">
        <v>2</v>
      </c>
      <c r="P37" s="10">
        <f t="shared" si="0"/>
        <v>2400</v>
      </c>
      <c r="Q37" s="6"/>
    </row>
    <row r="38" spans="1:17" x14ac:dyDescent="0.35">
      <c r="A38" s="18"/>
      <c r="B38" s="18"/>
      <c r="C38" s="5" t="s">
        <v>118</v>
      </c>
      <c r="D38" s="5" t="s">
        <v>105</v>
      </c>
      <c r="E38" s="1" t="s">
        <v>119</v>
      </c>
      <c r="F38" s="5"/>
      <c r="G38" s="5"/>
      <c r="H38" s="5"/>
      <c r="I38" s="5"/>
      <c r="J38" s="5"/>
      <c r="K38" s="1" t="s">
        <v>25</v>
      </c>
      <c r="L38" s="13" t="s">
        <v>117</v>
      </c>
      <c r="M38" s="2" t="s">
        <v>120</v>
      </c>
      <c r="N38" s="5">
        <v>3</v>
      </c>
      <c r="O38" s="1">
        <v>6</v>
      </c>
      <c r="P38" s="10">
        <f t="shared" si="0"/>
        <v>7200</v>
      </c>
      <c r="Q38" s="6"/>
    </row>
    <row r="39" spans="1:17" x14ac:dyDescent="0.35">
      <c r="A39" s="5"/>
      <c r="B39" s="5" t="s">
        <v>121</v>
      </c>
      <c r="C39" s="5"/>
      <c r="D39" s="5"/>
      <c r="E39" s="5"/>
      <c r="F39" s="5"/>
      <c r="G39" s="5"/>
      <c r="H39" s="5"/>
      <c r="I39" s="5"/>
      <c r="J39" s="5"/>
      <c r="K39" s="5"/>
      <c r="L39" s="2"/>
      <c r="M39" s="2"/>
      <c r="N39" s="5">
        <f>SUM(N4:N38)</f>
        <v>67</v>
      </c>
      <c r="O39" s="5">
        <f>SUM(O4:O38)</f>
        <v>120</v>
      </c>
      <c r="P39" s="5">
        <f>SUM(P4:P38)</f>
        <v>144000</v>
      </c>
      <c r="Q39" s="6"/>
    </row>
    <row r="40" spans="1:17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ht="15" x14ac:dyDescent="0.35">
      <c r="A41" s="17" t="s">
        <v>122</v>
      </c>
      <c r="B41" s="17"/>
      <c r="C41" s="17"/>
      <c r="D41" s="1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15" x14ac:dyDescent="0.35">
      <c r="A43" s="17" t="s">
        <v>123</v>
      </c>
      <c r="B43" s="17"/>
      <c r="C43" s="17"/>
      <c r="D43" s="17"/>
      <c r="E43" s="17"/>
      <c r="F43" s="17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15" x14ac:dyDescent="0.35">
      <c r="A44" s="17" t="s">
        <v>124</v>
      </c>
      <c r="B44" s="17"/>
      <c r="C44" s="17"/>
      <c r="D44" s="17"/>
      <c r="E44" s="17"/>
      <c r="F44" s="17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ht="15" x14ac:dyDescent="0.35">
      <c r="A45" s="17" t="s">
        <v>125</v>
      </c>
      <c r="B45" s="17"/>
      <c r="C45" s="17"/>
      <c r="D45" s="17"/>
      <c r="E45" s="17"/>
      <c r="F45" s="17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15" x14ac:dyDescent="0.35">
      <c r="A46" s="17" t="s">
        <v>126</v>
      </c>
      <c r="B46" s="17"/>
      <c r="C46" s="17"/>
      <c r="D46" s="17"/>
      <c r="E46" s="17"/>
      <c r="F46" s="17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</sheetData>
  <mergeCells count="29">
    <mergeCell ref="C24:C27"/>
    <mergeCell ref="C29:C30"/>
    <mergeCell ref="C31:C33"/>
    <mergeCell ref="C34:C35"/>
    <mergeCell ref="C9:C10"/>
    <mergeCell ref="C11:C13"/>
    <mergeCell ref="C14:C18"/>
    <mergeCell ref="C19:C20"/>
    <mergeCell ref="C21:C23"/>
    <mergeCell ref="B4:B6"/>
    <mergeCell ref="B7:B10"/>
    <mergeCell ref="B11:B27"/>
    <mergeCell ref="B28:B35"/>
    <mergeCell ref="B36:B38"/>
    <mergeCell ref="A4:A6"/>
    <mergeCell ref="A7:A10"/>
    <mergeCell ref="A11:A27"/>
    <mergeCell ref="A28:A35"/>
    <mergeCell ref="A36:A38"/>
    <mergeCell ref="A41:D41"/>
    <mergeCell ref="A43:F43"/>
    <mergeCell ref="A44:F44"/>
    <mergeCell ref="A45:F45"/>
    <mergeCell ref="A46:F46"/>
    <mergeCell ref="B1:D1"/>
    <mergeCell ref="F1:G1"/>
    <mergeCell ref="B2:C2"/>
    <mergeCell ref="F2:G2"/>
    <mergeCell ref="H2:J2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shanghaobo</dc:creator>
  <cp:lastModifiedBy>shanghaobo</cp:lastModifiedBy>
  <dcterms:created xsi:type="dcterms:W3CDTF">2015-06-05T18:19:00Z</dcterms:created>
  <dcterms:modified xsi:type="dcterms:W3CDTF">2021-06-15T02:03:31Z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